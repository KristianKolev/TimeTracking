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5"/>
  <workbookPr/>
  <mc:AlternateContent xmlns:mc="http://schemas.openxmlformats.org/markup-compatibility/2006">
    <mc:Choice Requires="x15">
      <x15ac:absPath xmlns:x15ac="http://schemas.microsoft.com/office/spreadsheetml/2010/11/ac" url="F:\Work\"/>
    </mc:Choice>
  </mc:AlternateContent>
  <xr:revisionPtr revIDLastSave="0" documentId="13_ncr:1_{91B8CF87-1344-41F3-B8B8-7A10DBE7C5F3}" xr6:coauthVersionLast="47" xr6:coauthVersionMax="47" xr10:uidLastSave="{00000000-0000-0000-0000-000000000000}"/>
  <bookViews>
    <workbookView xWindow="2445" yWindow="0" windowWidth="34335" windowHeight="20745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 a="1"/>
  <c r="F41" i="1" s="1"/>
  <c r="E40" i="1" l="1"/>
  <c r="D40" i="1"/>
  <c r="F40" i="1" s="1"/>
  <c r="C40" i="1"/>
  <c r="B40" i="1"/>
  <c r="E39" i="1"/>
  <c r="D39" i="1"/>
  <c r="F39" i="1" s="1"/>
  <c r="C39" i="1"/>
  <c r="B39" i="1"/>
  <c r="E38" i="1"/>
  <c r="D38" i="1"/>
  <c r="F38" i="1" s="1"/>
  <c r="C38" i="1"/>
  <c r="B38" i="1"/>
  <c r="E37" i="1"/>
  <c r="D37" i="1"/>
  <c r="F37" i="1" s="1"/>
  <c r="C37" i="1"/>
  <c r="B37" i="1"/>
  <c r="F36" i="1"/>
  <c r="E36" i="1"/>
  <c r="D36" i="1"/>
  <c r="C36" i="1"/>
  <c r="B36" i="1"/>
  <c r="F35" i="1"/>
  <c r="E35" i="1"/>
  <c r="D35" i="1"/>
  <c r="C35" i="1"/>
  <c r="B35" i="1"/>
  <c r="E34" i="1"/>
  <c r="D34" i="1"/>
  <c r="F34" i="1" s="1"/>
  <c r="C34" i="1"/>
  <c r="B34" i="1"/>
  <c r="E33" i="1"/>
  <c r="D33" i="1"/>
  <c r="F33" i="1" s="1"/>
  <c r="C33" i="1"/>
  <c r="B33" i="1"/>
  <c r="E32" i="1"/>
  <c r="D32" i="1"/>
  <c r="F32" i="1" s="1"/>
  <c r="C32" i="1"/>
  <c r="B32" i="1"/>
  <c r="E31" i="1"/>
  <c r="F31" i="1" s="1"/>
  <c r="D31" i="1"/>
  <c r="C31" i="1"/>
  <c r="B31" i="1"/>
  <c r="E30" i="1"/>
  <c r="D30" i="1"/>
  <c r="F30" i="1" s="1"/>
  <c r="C30" i="1"/>
  <c r="B30" i="1"/>
  <c r="F29" i="1"/>
  <c r="E29" i="1"/>
  <c r="D29" i="1"/>
  <c r="C29" i="1"/>
  <c r="B29" i="1"/>
  <c r="F28" i="1"/>
  <c r="E28" i="1"/>
  <c r="D28" i="1"/>
  <c r="C28" i="1"/>
  <c r="B28" i="1"/>
  <c r="E27" i="1"/>
  <c r="D27" i="1"/>
  <c r="F27" i="1" s="1"/>
  <c r="C27" i="1"/>
  <c r="B27" i="1"/>
  <c r="F26" i="1"/>
  <c r="E26" i="1"/>
  <c r="D26" i="1"/>
  <c r="C26" i="1"/>
  <c r="B26" i="1"/>
  <c r="E25" i="1"/>
  <c r="D25" i="1"/>
  <c r="F25" i="1" s="1"/>
  <c r="C25" i="1"/>
  <c r="B25" i="1"/>
  <c r="E24" i="1"/>
  <c r="D24" i="1"/>
  <c r="C24" i="1"/>
  <c r="F24" i="1" s="1"/>
  <c r="B24" i="1"/>
  <c r="E23" i="1"/>
  <c r="D23" i="1"/>
  <c r="F23" i="1" s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E18" i="1"/>
  <c r="D18" i="1"/>
  <c r="F18" i="1" s="1"/>
  <c r="C18" i="1"/>
  <c r="B18" i="1"/>
  <c r="E17" i="1"/>
  <c r="D17" i="1"/>
  <c r="F17" i="1" s="1"/>
  <c r="C17" i="1"/>
  <c r="B17" i="1"/>
  <c r="E16" i="1"/>
  <c r="D16" i="1"/>
  <c r="F16" i="1" s="1"/>
  <c r="C16" i="1"/>
  <c r="B16" i="1"/>
  <c r="F15" i="1"/>
  <c r="E15" i="1"/>
  <c r="D15" i="1"/>
  <c r="C15" i="1"/>
  <c r="B15" i="1"/>
  <c r="F14" i="1"/>
  <c r="E14" i="1"/>
  <c r="D14" i="1"/>
  <c r="C14" i="1"/>
  <c r="B14" i="1"/>
  <c r="E13" i="1"/>
  <c r="D13" i="1"/>
  <c r="F13" i="1" s="1"/>
  <c r="C13" i="1"/>
  <c r="B13" i="1"/>
  <c r="E12" i="1"/>
  <c r="D12" i="1"/>
  <c r="F12" i="1" s="1"/>
  <c r="C12" i="1"/>
  <c r="B12" i="1"/>
  <c r="E10" i="1"/>
  <c r="D10" i="1"/>
  <c r="F10" i="1" s="1"/>
  <c r="C10" i="1"/>
  <c r="B10" i="1"/>
  <c r="H9" i="1"/>
  <c r="X40" i="1" l="1"/>
  <c r="X39" i="1"/>
  <c r="X38" i="1"/>
  <c r="X37" i="1"/>
  <c r="X34" i="1"/>
  <c r="X33" i="1"/>
  <c r="X32" i="1"/>
  <c r="X31" i="1"/>
  <c r="X30" i="1"/>
  <c r="X27" i="1"/>
  <c r="X26" i="1"/>
  <c r="X25" i="1"/>
  <c r="X24" i="1"/>
  <c r="X23" i="1"/>
  <c r="X20" i="1"/>
  <c r="X19" i="1"/>
  <c r="X18" i="1"/>
  <c r="X17" i="1"/>
  <c r="X16" i="1"/>
  <c r="X13" i="1"/>
  <c r="X12" i="1"/>
  <c r="X11" i="1"/>
  <c r="X10" i="1"/>
  <c r="S40" i="1"/>
  <c r="S39" i="1"/>
  <c r="S34" i="1"/>
  <c r="S33" i="1"/>
  <c r="S32" i="1"/>
  <c r="S27" i="1"/>
  <c r="S26" i="1"/>
  <c r="S25" i="1"/>
  <c r="S20" i="1"/>
  <c r="S19" i="1"/>
  <c r="S18" i="1"/>
  <c r="S13" i="1"/>
  <c r="S12" i="1"/>
  <c r="S11" i="1"/>
  <c r="S16" i="1"/>
  <c r="S17" i="1"/>
  <c r="S23" i="1"/>
  <c r="S24" i="1"/>
  <c r="S30" i="1"/>
  <c r="S31" i="1"/>
  <c r="S37" i="1"/>
  <c r="S38" i="1"/>
  <c r="S10" i="1"/>
  <c r="N40" i="1"/>
  <c r="N39" i="1"/>
  <c r="N34" i="1"/>
  <c r="N33" i="1"/>
  <c r="N32" i="1"/>
  <c r="N27" i="1"/>
  <c r="N26" i="1"/>
  <c r="N25" i="1"/>
  <c r="N20" i="1"/>
  <c r="N19" i="1"/>
  <c r="N18" i="1"/>
  <c r="N13" i="1"/>
  <c r="N11" i="1"/>
  <c r="N12" i="1"/>
  <c r="N16" i="1"/>
  <c r="N17" i="1"/>
  <c r="N23" i="1"/>
  <c r="N24" i="1"/>
  <c r="N30" i="1"/>
  <c r="N31" i="1"/>
  <c r="N37" i="1"/>
  <c r="N38" i="1"/>
  <c r="N10" i="1"/>
  <c r="R9" i="1"/>
  <c r="Q9" i="1"/>
  <c r="P9" i="1"/>
  <c r="O9" i="1"/>
  <c r="W9" i="1"/>
  <c r="V9" i="1"/>
  <c r="U9" i="1"/>
  <c r="T9" i="1"/>
  <c r="B11" i="1"/>
  <c r="C11" i="1"/>
  <c r="D11" i="1"/>
  <c r="E11" i="1"/>
  <c r="S15" i="1"/>
  <c r="X15" i="1"/>
  <c r="S29" i="1"/>
  <c r="N29" i="1"/>
  <c r="N15" i="1"/>
  <c r="X22" i="1"/>
  <c r="N36" i="1"/>
  <c r="X29" i="1"/>
  <c r="S22" i="1"/>
  <c r="S36" i="1"/>
  <c r="N22" i="1"/>
  <c r="X36" i="1"/>
  <c r="S28" i="1"/>
  <c r="X35" i="1"/>
  <c r="X28" i="1"/>
  <c r="N35" i="1"/>
  <c r="S21" i="1"/>
  <c r="S35" i="1"/>
  <c r="X21" i="1"/>
  <c r="S14" i="1"/>
  <c r="X14" i="1"/>
  <c r="N14" i="1"/>
  <c r="N28" i="1"/>
  <c r="N21" i="1"/>
  <c r="H31" i="1" l="1"/>
  <c r="H23" i="1"/>
  <c r="H24" i="1"/>
  <c r="H30" i="1"/>
  <c r="H37" i="1"/>
  <c r="H32" i="1"/>
  <c r="H12" i="1"/>
  <c r="H13" i="1"/>
  <c r="H11" i="1"/>
  <c r="H22" i="1"/>
  <c r="H36" i="1"/>
  <c r="H15" i="1"/>
  <c r="H29" i="1"/>
  <c r="H17" i="1"/>
  <c r="H26" i="1"/>
  <c r="H19" i="1"/>
  <c r="H33" i="1"/>
  <c r="H20" i="1"/>
  <c r="H18" i="1"/>
  <c r="H27" i="1"/>
  <c r="H39" i="1"/>
  <c r="H40" i="1"/>
  <c r="H34" i="1"/>
  <c r="H25" i="1"/>
  <c r="H16" i="1"/>
  <c r="H38" i="1"/>
  <c r="H10" i="1"/>
  <c r="S9" i="1"/>
  <c r="H35" i="1"/>
  <c r="H21" i="1"/>
  <c r="H28" i="1"/>
  <c r="H14" i="1"/>
  <c r="F11" i="1" l="1"/>
  <c r="X9" i="1"/>
  <c r="F42" i="1" l="1"/>
  <c r="F43" i="1" l="1"/>
  <c r="J9" i="1"/>
  <c r="K9" i="1"/>
  <c r="L9" i="1"/>
  <c r="M9" i="1"/>
  <c r="I9" i="1"/>
  <c r="N9" i="1" l="1"/>
  <c r="O41" i="1" l="1"/>
  <c r="P41" i="1"/>
  <c r="R41" i="1"/>
  <c r="Q41" i="1"/>
  <c r="S41" i="1"/>
  <c r="U41" i="1" l="1"/>
  <c r="V41" i="1"/>
  <c r="W41" i="1"/>
  <c r="T41" i="1"/>
  <c r="X41" i="1"/>
  <c r="M41" i="1"/>
  <c r="J41" i="1"/>
  <c r="L41" i="1"/>
  <c r="I41" i="1"/>
  <c r="K41" i="1"/>
  <c r="N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<sst xmlns="http://schemas.openxmlformats.org/spreadsheetml/2006/main" count="28" uniqueCount="22">
  <si>
    <t>Total</t>
  </si>
  <si>
    <t>Misc</t>
  </si>
  <si>
    <t>Meeting</t>
  </si>
  <si>
    <t>Total Logged</t>
  </si>
  <si>
    <t>Start</t>
  </si>
  <si>
    <t>Breaks</t>
  </si>
  <si>
    <t>End</t>
  </si>
  <si>
    <t>Worked</t>
  </si>
  <si>
    <t>Extra</t>
  </si>
  <si>
    <t>Expected</t>
  </si>
  <si>
    <t>Difference</t>
  </si>
  <si>
    <t>Office</t>
  </si>
  <si>
    <t>Conference</t>
  </si>
  <si>
    <t>ICASIS</t>
  </si>
  <si>
    <t>Daily</t>
  </si>
  <si>
    <t>Tickets</t>
  </si>
  <si>
    <t>ProdDemo</t>
  </si>
  <si>
    <t>On-Site</t>
  </si>
  <si>
    <t>Refinement</t>
  </si>
  <si>
    <t>Retro</t>
  </si>
  <si>
    <t>Holiday/Vacation</t>
  </si>
  <si>
    <t>Sick leave/away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</si>
</sst>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"/>
    <numFmt numFmtId="166" formatCode="[$-C09]dddd\,\ d\ mmmm\ yyyy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79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EE80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2" xfId="0" applyFont="1" applyFill="1" applyBorder="1"/>
    <xf numFmtId="164" fontId="0" fillId="0" borderId="0" xfId="0" applyNumberFormat="1"/>
    <xf numFmtId="2" fontId="4" fillId="0" borderId="0" xfId="0" applyNumberFormat="1" applyFont="1" applyAlignment="1">
      <alignment vertical="center"/>
    </xf>
    <xf numFmtId="2" fontId="0" fillId="0" borderId="0" xfId="0" applyNumberFormat="1"/>
    <xf numFmtId="0" fontId="0" fillId="0" borderId="11" xfId="0" applyBorder="1"/>
    <xf numFmtId="9" fontId="0" fillId="0" borderId="0" xfId="1" applyFont="1"/>
    <xf numFmtId="165" fontId="0" fillId="0" borderId="2" xfId="0" applyNumberFormat="1" applyBorder="1"/>
    <xf numFmtId="0" fontId="0" fillId="0" borderId="0" xfId="0"/>
    <xf numFmtId="166" fontId="0" fillId="0" borderId="10" xfId="0" applyNumberFormat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3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theme="5" tint="0.39994506668294322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EEE804"/>
      <color rgb="FFFDFA88"/>
      <color rgb="FFF77979"/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ian Kolev" id="{416315DD-BF7A-4831-B710-F23114844AC6}" userId="S::kristian.kolev@iconincar.com::623176a1-0f7c-4a6c-a0cd-4dddec07f52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4-09-17T07:16:10.29" personId="{416315DD-BF7A-4831-B710-F23114844AC6}" id="{E8AFD4EB-2FB6-4CE2-AD56-790BC7941DBB}">
    <text>iic_iic_395-24_004</text>
  </threadedComment>
  <threadedComment ref="T7" dT="2024-09-17T07:16:37.04" personId="{416315DD-BF7A-4831-B710-F23114844AC6}" id="{693242BC-B312-438F-AE7A-0A15460E5582}">
    <text>iic_iic_515_004</text>
  </threadedComment>
  <threadedComment ref="Y7" dT="2024-09-17T07:18:13.82" personId="{416315DD-BF7A-4831-B710-F23114844AC6}" id="{E66F1E11-5F44-4A82-93F0-A87771EECBF2}">
    <text>iic_iic_emerging000-24_009</text>
  </threadedComment>
  <threadedComment ref="AD7" dT="2024-09-17T07:18:32.59" personId="{416315DD-BF7A-4831-B710-F23114844AC6}" id="{B4447BF6-183E-4864-B795-A4A43F8BAE40}">
    <text>iic_iic_395-24_001</text>
  </threadedComment>
  <threadedComment ref="AS7" dT="2024-09-17T07:18:56.76" personId="{416315DD-BF7A-4831-B710-F23114844AC6}" id="{6106ABAF-51A8-4936-BF06-E220522D008B}">
    <text>iic_solo_003_004</text>
  </threadedComment>
  <threadedComment ref="BC7" dT="2024-09-17T07:19:06.15" personId="{416315DD-BF7A-4831-B710-F23114844AC6}" id="{8D1E3DFC-3D1B-4547-8889-C7357E24934D}">
    <text>iic_jake_003_006</text>
  </threadedComment>
  <threadedComment ref="BH7" dT="2024-09-17T07:19:14.61" personId="{416315DD-BF7A-4831-B710-F23114844AC6}" id="{7A2927C7-F9AE-42FC-9991-86C9C68C6B51}">
    <text>iic_iic_480_009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AM48"/>
  <sheetViews>
    <sheetView tabSelected="1" zoomScaleNormal="100" workbookViewId="0">
      <selection activeCell="J42" sqref="J42"/>
    </sheetView>
  </sheetViews>
  <sheetFormatPr defaultRowHeight="15" outlineLevelCol="1"/>
  <cols>
    <col min="7" max="7" width="23.5703125" bestFit="1" customWidth="1"/>
    <col min="8" max="8" width="10.85546875" bestFit="1" customWidth="1"/>
    <col min="9" max="9" width="11.140625" bestFit="1" customWidth="1"/>
    <col min="15" max="19" width="8.7109375" customWidth="1" outlineLevel="1"/>
    <col min="21" max="21" width="10.85546875" bestFit="1" customWidth="1"/>
    <col min="27" max="27" width="11.85546875" bestFit="1" customWidth="1"/>
  </cols>
  <sheetData>
    <row r="6" spans="2:39" ht="15.75" thickBot="1"/>
    <row r="7" spans="2:39" ht="16.5" thickTop="1" thickBot="1">
      <c r="I7" s="19" t="s">
        <v>13</v>
      </c>
      <c r="J7" s="20"/>
      <c r="K7" s="20"/>
      <c r="L7" s="20"/>
      <c r="M7" s="20"/>
      <c r="N7" s="21"/>
      <c r="O7" s="30" t="s">
        <v>2</v>
      </c>
      <c r="P7" s="31"/>
      <c r="Q7" s="31"/>
      <c r="R7" s="31"/>
      <c r="S7" s="32"/>
      <c r="T7" s="30" t="s">
        <v>17</v>
      </c>
      <c r="U7" s="31"/>
      <c r="V7" s="31"/>
      <c r="W7" s="31"/>
      <c r="X7" s="31"/>
      <c r="Y7" s="25"/>
      <c r="Z7" s="26"/>
      <c r="AA7" s="26"/>
      <c r="AB7" s="26"/>
      <c r="AC7" s="26"/>
      <c r="AD7" s="27"/>
      <c r="AE7" s="28"/>
      <c r="AF7" s="28"/>
      <c r="AG7" s="28"/>
      <c r="AH7" s="29"/>
      <c r="AI7" s="22"/>
      <c r="AJ7" s="23"/>
      <c r="AK7" s="23"/>
      <c r="AL7" s="23"/>
      <c r="AM7" s="24"/>
    </row>
    <row r="8" spans="2:39" ht="15.75" thickTop="1">
      <c r="H8" t="s">
        <v>3</v>
      </c>
      <c r="I8" s="4" t="s">
        <v>2</v>
      </c>
      <c r="J8" t="s">
        <v>14</v>
      </c>
      <c r="K8" s="4" t="s">
        <v>15</v>
      </c>
      <c r="L8" s="11"/>
      <c r="M8" s="11" t="s">
        <v>1</v>
      </c>
      <c r="N8" s="4" t="s">
        <v>0</v>
      </c>
      <c r="O8" s="4" t="s">
        <v>16</v>
      </c>
      <c r="P8" s="4" t="s">
        <v>18</v>
      </c>
      <c r="Q8" s="3" t="s">
        <v>19</v>
      </c>
      <c r="R8" s="4"/>
      <c r="S8" s="4" t="s">
        <v>0</v>
      </c>
      <c r="T8" s="4" t="s">
        <v>11</v>
      </c>
      <c r="U8" s="4" t="s">
        <v>12</v>
      </c>
      <c r="V8" s="4"/>
      <c r="W8" s="4"/>
      <c r="X8" s="4" t="s">
        <v>0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2:39">
      <c r="B9" t="s">
        <v>4</v>
      </c>
      <c r="C9" t="s">
        <v>5</v>
      </c>
      <c r="D9" t="s">
        <v>6</v>
      </c>
      <c r="E9" t="s">
        <v>8</v>
      </c>
      <c r="F9" t="s">
        <v>7</v>
      </c>
      <c r="G9" t="s">
        <v>0</v>
      </c>
      <c r="H9" s="7">
        <f>SUM(N9,AM9,X9,AC9,AH9,S9)</f>
        <v>0</v>
      </c>
      <c r="I9" s="5">
        <f>SUM(I10:I40)</f>
        <v>0</v>
      </c>
      <c r="J9" s="6">
        <f>SUM(J10:J40)</f>
        <v>0</v>
      </c>
      <c r="K9" s="6">
        <f>SUM(K10:K40)</f>
        <v>0</v>
      </c>
      <c r="L9" s="6">
        <f>SUM(L10:L40)</f>
        <v>0</v>
      </c>
      <c r="M9" s="6">
        <f>SUM(M10:M40)</f>
        <v>0</v>
      </c>
      <c r="N9" s="2">
        <f>SUM(I9:M9)</f>
        <v>0</v>
      </c>
      <c r="O9" s="5">
        <f>SUM(O10:O40)</f>
        <v>0</v>
      </c>
      <c r="P9" s="6">
        <f>SUM(P10:P40)</f>
        <v>0</v>
      </c>
      <c r="Q9" s="6">
        <f>SUM(Q10:Q40)</f>
        <v>0</v>
      </c>
      <c r="R9" s="6">
        <f>SUM(R10:R40)</f>
        <v>0</v>
      </c>
      <c r="S9" s="2">
        <f>SUM(O9:R9)</f>
        <v>0</v>
      </c>
      <c r="T9" s="5">
        <f>SUM(T10:T40)</f>
        <v>0</v>
      </c>
      <c r="U9" s="6">
        <f>SUM(U10:U40)</f>
        <v>0</v>
      </c>
      <c r="V9" s="6">
        <f>SUM(V10:V40)</f>
        <v>0</v>
      </c>
      <c r="W9" s="6">
        <f>SUM(W10:W40)</f>
        <v>0</v>
      </c>
      <c r="X9" s="2">
        <f>SUM(T9:W9)</f>
        <v>0</v>
      </c>
      <c r="Y9" s="5"/>
      <c r="Z9" s="6"/>
      <c r="AA9" s="6"/>
      <c r="AB9" s="6"/>
      <c r="AC9" s="2"/>
      <c r="AD9" s="5"/>
      <c r="AE9" s="6"/>
      <c r="AF9" s="6"/>
      <c r="AG9" s="6"/>
      <c r="AH9" s="2"/>
      <c r="AI9" s="5"/>
      <c r="AJ9" s="6"/>
      <c r="AK9" s="6"/>
      <c r="AL9" s="6"/>
      <c r="AM9" s="2"/>
    </row>
    <row r="10" spans="2:39">
      <c r="B10" s="8">
        <f t="shared" ref="B10" si="0">IF(OR(WEEKDAY(G10) = 1, WEEKDAY(G10) = 7), "", TIME(8, 0, 0))</f>
        <v>0.33333333333333331</v>
      </c>
      <c r="C10" s="14">
        <f t="shared" ref="C10" si="1">IF(OR(WEEKDAY(G10) = 1, WEEKDAY(G10) = 7), "", SUM(15+30+15))</f>
        <v>60</v>
      </c>
      <c r="D10" s="8">
        <f t="shared" ref="D10" si="2">IF(OR(WEEKDAY(G10) = 1, WEEKDAY(G10) = 7), "", TIME(17, 0, 0))</f>
        <v>0.70833333333333337</v>
      </c>
      <c r="E10" s="14">
        <f t="shared" ref="E10:E40" si="3">SUM(0+0+0)</f>
        <v>0</v>
      </c>
      <c r="F10" s="8">
        <f t="shared" ref="F10" si="4">IF(OR(WEEKDAY(G10) = 1, WEEKDAY(G10) = 7), "", D10-B10-C10/1440+E10/1440)</f>
        <v>0.33333333333333337</v>
      </c>
      <c r="G10" s="15">
        <v>45748</v>
      </c>
      <c r="H10" s="13">
        <f ca="1">IF(WEEKDAY(G10)=7, SUM(OFFSET(INDIRECT(ADDRESS(ROW(),COLUMN())), -5, 0, 5, 1)), SUM(N10,S10,AM10,X10,AC10,AH10))</f>
        <v>0</v>
      </c>
      <c r="N10" s="2">
        <f ca="1">IF(WEEKDAY($G10)=7, SUM(OFFSET(INDIRECT(ADDRESS(ROW(),COLUMN())), -5, 0, 5, 1)), SUM(I10:M10))</f>
        <v>0</v>
      </c>
      <c r="S10" s="2">
        <f ca="1">IF(WEEKDAY($G10)=7, SUM(OFFSET(INDIRECT(ADDRESS(ROW(),COLUMN())), -5, 0, 5, 1)), SUM(O10:R10))</f>
        <v>0</v>
      </c>
      <c r="X10" s="2">
        <f ca="1">IF(WEEKDAY($G10)=7, SUM(OFFSET(INDIRECT(ADDRESS(ROW(),COLUMN())), -5, 0, 5, 1)), SUM(T10:W10))</f>
        <v>0</v>
      </c>
      <c r="AC10" s="2"/>
      <c r="AH10" s="2"/>
      <c r="AM10" s="2"/>
    </row>
    <row r="11" spans="2:39">
      <c r="B11" s="8">
        <f t="shared" ref="B11" si="5">IF(OR(WEEKDAY(G11) = 1, WEEKDAY(G11) = 7), "", TIME(8, 0, 0))</f>
        <v>0.33333333333333331</v>
      </c>
      <c r="C11">
        <f t="shared" ref="C11" si="6">IF(OR(WEEKDAY(G11) = 1, WEEKDAY(G11) = 7), "", SUM(15+30+15))</f>
        <v>60</v>
      </c>
      <c r="D11" s="8">
        <f t="shared" ref="D11" si="7">IF(OR(WEEKDAY(G11) = 1, WEEKDAY(G11) = 7), "", TIME(17, 0, 0))</f>
        <v>0.70833333333333337</v>
      </c>
      <c r="E11">
        <f t="shared" si="3"/>
        <v>0</v>
      </c>
      <c r="F11" s="8">
        <f t="shared" ref="F11" si="8">IF(OR(WEEKDAY(G11) = 1, WEEKDAY(G11) = 7), "", D11-B11-C11/1440+E11/1440)</f>
        <v>0.33333333333333337</v>
      </c>
      <c r="G11" s="15">
        <v>45749</v>
      </c>
      <c r="H11" s="13">
        <f t="shared" ref="H11:H40" ca="1" si="9">IF(WEEKDAY(G11)=7, SUM(OFFSET(INDIRECT(ADDRESS(ROW(),COLUMN())), -5, 0, 5, 1)), SUM(N11,S11,AM11,X11,AC11,AH11))</f>
        <v>0</v>
      </c>
      <c r="N11" s="3">
        <f t="shared" ref="N11:N40" ca="1" si="10">IF(WEEKDAY($G11)=7, SUM(OFFSET(INDIRECT(ADDRESS(ROW(),COLUMN())), -5, 0, 5, 1)), SUM(I11:M11))</f>
        <v>0</v>
      </c>
      <c r="S11" s="3">
        <f t="shared" ref="S11:S40" ca="1" si="11">IF(WEEKDAY($G11)=7, SUM(OFFSET(INDIRECT(ADDRESS(ROW(),COLUMN())), -5, 0, 5, 1)), SUM(O11:R11))</f>
        <v>0</v>
      </c>
      <c r="X11" s="3">
        <f t="shared" ref="X11:X40" ca="1" si="12">IF(WEEKDAY($G11)=7, SUM(OFFSET(INDIRECT(ADDRESS(ROW(),COLUMN())), -5, 0, 5, 1)), SUM(T11:W11))</f>
        <v>0</v>
      </c>
      <c r="AC11" s="3"/>
      <c r="AH11" s="3"/>
      <c r="AM11" s="3"/>
    </row>
    <row r="12" spans="2:39">
      <c r="B12" s="8">
        <f t="shared" ref="B12:B40" si="13">IF(OR(WEEKDAY(G12) = 1, WEEKDAY(G12) = 7), "", TIME(8, 0, 0))</f>
        <v>0.33333333333333331</v>
      </c>
      <c r="C12" s="14">
        <f t="shared" ref="C12:C40" si="14">IF(OR(WEEKDAY(G12) = 1, WEEKDAY(G12) = 7), "", SUM(15+30+15))</f>
        <v>60</v>
      </c>
      <c r="D12" s="8">
        <f t="shared" ref="D12:D40" si="15">IF(OR(WEEKDAY(G12) = 1, WEEKDAY(G12) = 7), "", TIME(17, 0, 0))</f>
        <v>0.70833333333333337</v>
      </c>
      <c r="E12" s="14">
        <f t="shared" si="3"/>
        <v>0</v>
      </c>
      <c r="F12" s="8">
        <f t="shared" ref="F12:F40" si="16">IF(OR(WEEKDAY(G12) = 1, WEEKDAY(G12) = 7), "", D12-B12-C12/1440+E12/1440)</f>
        <v>0.33333333333333337</v>
      </c>
      <c r="G12" s="15">
        <v>45750</v>
      </c>
      <c r="H12" s="13">
        <f t="shared" ca="1" si="9"/>
        <v>0</v>
      </c>
      <c r="N12" s="3">
        <f t="shared" ca="1" si="10"/>
        <v>0</v>
      </c>
      <c r="S12" s="3">
        <f t="shared" ca="1" si="11"/>
        <v>0</v>
      </c>
      <c r="X12" s="3">
        <f t="shared" ca="1" si="12"/>
        <v>0</v>
      </c>
      <c r="AC12" s="3"/>
      <c r="AH12" s="3"/>
      <c r="AM12" s="3"/>
    </row>
    <row r="13" spans="2:39">
      <c r="B13" s="8">
        <f t="shared" si="13"/>
        <v>0.33333333333333331</v>
      </c>
      <c r="C13" s="14">
        <f t="shared" si="14"/>
        <v>60</v>
      </c>
      <c r="D13" s="8">
        <f t="shared" si="15"/>
        <v>0.70833333333333337</v>
      </c>
      <c r="E13" s="14">
        <f t="shared" si="3"/>
        <v>0</v>
      </c>
      <c r="F13" s="8">
        <f t="shared" si="16"/>
        <v>0.33333333333333337</v>
      </c>
      <c r="G13" s="15">
        <v>45751</v>
      </c>
      <c r="H13" s="13">
        <f t="shared" ca="1" si="9"/>
        <v>0</v>
      </c>
      <c r="N13" s="3">
        <f t="shared" ca="1" si="10"/>
        <v>0</v>
      </c>
      <c r="S13" s="3">
        <f t="shared" ca="1" si="11"/>
        <v>0</v>
      </c>
      <c r="X13" s="3">
        <f t="shared" ca="1" si="12"/>
        <v>0</v>
      </c>
      <c r="AC13" s="3"/>
      <c r="AH13" s="3"/>
      <c r="AM13" s="3"/>
    </row>
    <row r="14" spans="2:39">
      <c r="B14" s="8" t="str">
        <f t="shared" si="13"/>
        <v/>
      </c>
      <c r="C14" s="14" t="str">
        <f t="shared" si="14"/>
        <v/>
      </c>
      <c r="D14" s="8" t="str">
        <f t="shared" si="15"/>
        <v/>
      </c>
      <c r="E14" s="14">
        <f t="shared" si="3"/>
        <v>0</v>
      </c>
      <c r="F14" s="8" t="str">
        <f t="shared" si="16"/>
        <v/>
      </c>
      <c r="G14" s="15">
        <v>45752</v>
      </c>
      <c r="H14" s="13">
        <f t="shared" ca="1" si="9"/>
        <v>0</v>
      </c>
      <c r="N14" s="3">
        <f t="shared" ca="1" si="10"/>
        <v>0</v>
      </c>
      <c r="S14" s="3">
        <f t="shared" ca="1" si="11"/>
        <v>0</v>
      </c>
      <c r="X14" s="3">
        <f t="shared" ca="1" si="12"/>
        <v>0</v>
      </c>
      <c r="AC14" s="3"/>
      <c r="AH14" s="3"/>
      <c r="AM14" s="3"/>
    </row>
    <row r="15" spans="2:39">
      <c r="B15" s="8" t="str">
        <f t="shared" si="13"/>
        <v/>
      </c>
      <c r="C15" s="14" t="str">
        <f t="shared" si="14"/>
        <v/>
      </c>
      <c r="D15" s="8" t="str">
        <f t="shared" si="15"/>
        <v/>
      </c>
      <c r="E15" s="14">
        <f t="shared" si="3"/>
        <v>0</v>
      </c>
      <c r="F15" s="8" t="str">
        <f t="shared" si="16"/>
        <v/>
      </c>
      <c r="G15" s="15">
        <v>45753</v>
      </c>
      <c r="H15" s="13">
        <f t="shared" ca="1" si="9"/>
        <v>0</v>
      </c>
      <c r="N15" s="2">
        <f t="shared" ca="1" si="10"/>
        <v>0</v>
      </c>
      <c r="S15" s="2">
        <f t="shared" ca="1" si="11"/>
        <v>0</v>
      </c>
      <c r="X15" s="2">
        <f t="shared" ca="1" si="12"/>
        <v>0</v>
      </c>
      <c r="AC15" s="2"/>
      <c r="AH15" s="2"/>
      <c r="AM15" s="2"/>
    </row>
    <row r="16" spans="2:39">
      <c r="B16" s="8">
        <f t="shared" si="13"/>
        <v>0.33333333333333331</v>
      </c>
      <c r="C16" s="14">
        <f t="shared" si="14"/>
        <v>60</v>
      </c>
      <c r="D16" s="8">
        <f t="shared" si="15"/>
        <v>0.70833333333333337</v>
      </c>
      <c r="E16" s="14">
        <f t="shared" si="3"/>
        <v>0</v>
      </c>
      <c r="F16" s="8">
        <f t="shared" si="16"/>
        <v>0.33333333333333337</v>
      </c>
      <c r="G16" s="15">
        <v>45754</v>
      </c>
      <c r="H16" s="13">
        <f t="shared" ca="1" si="9"/>
        <v>0</v>
      </c>
      <c r="N16" s="2">
        <f t="shared" ca="1" si="10"/>
        <v>0</v>
      </c>
      <c r="S16" s="2">
        <f t="shared" ca="1" si="11"/>
        <v>0</v>
      </c>
      <c r="X16" s="2">
        <f t="shared" ca="1" si="12"/>
        <v>0</v>
      </c>
      <c r="AC16" s="2"/>
      <c r="AH16" s="2"/>
      <c r="AM16" s="2"/>
    </row>
    <row r="17" spans="2:39">
      <c r="B17" s="8">
        <f t="shared" si="13"/>
        <v>0.33333333333333331</v>
      </c>
      <c r="C17" s="14">
        <f t="shared" si="14"/>
        <v>60</v>
      </c>
      <c r="D17" s="8">
        <f t="shared" si="15"/>
        <v>0.70833333333333337</v>
      </c>
      <c r="E17" s="14">
        <f t="shared" si="3"/>
        <v>0</v>
      </c>
      <c r="F17" s="8">
        <f t="shared" si="16"/>
        <v>0.33333333333333337</v>
      </c>
      <c r="G17" s="15">
        <v>45755</v>
      </c>
      <c r="H17" s="13">
        <f t="shared" ca="1" si="9"/>
        <v>0</v>
      </c>
      <c r="N17" s="2">
        <f t="shared" ca="1" si="10"/>
        <v>0</v>
      </c>
      <c r="S17" s="2">
        <f t="shared" ca="1" si="11"/>
        <v>0</v>
      </c>
      <c r="X17" s="2">
        <f t="shared" ca="1" si="12"/>
        <v>0</v>
      </c>
      <c r="AC17" s="2"/>
      <c r="AH17" s="2"/>
      <c r="AM17" s="2"/>
    </row>
    <row r="18" spans="2:39">
      <c r="B18" s="8">
        <f t="shared" si="13"/>
        <v>0.33333333333333331</v>
      </c>
      <c r="C18" s="14">
        <f t="shared" si="14"/>
        <v>60</v>
      </c>
      <c r="D18" s="8">
        <f t="shared" si="15"/>
        <v>0.70833333333333337</v>
      </c>
      <c r="E18" s="14">
        <f t="shared" si="3"/>
        <v>0</v>
      </c>
      <c r="F18" s="8">
        <f t="shared" si="16"/>
        <v>0.33333333333333337</v>
      </c>
      <c r="G18" s="15">
        <v>45756</v>
      </c>
      <c r="H18" s="13">
        <f t="shared" ca="1" si="9"/>
        <v>0</v>
      </c>
      <c r="N18" s="3">
        <f t="shared" ca="1" si="10"/>
        <v>0</v>
      </c>
      <c r="S18" s="3">
        <f t="shared" ca="1" si="11"/>
        <v>0</v>
      </c>
      <c r="X18" s="3">
        <f t="shared" ca="1" si="12"/>
        <v>0</v>
      </c>
      <c r="AC18" s="3"/>
      <c r="AH18" s="3"/>
      <c r="AM18" s="3"/>
    </row>
    <row r="19" spans="2:39">
      <c r="B19" s="8">
        <f t="shared" si="13"/>
        <v>0.33333333333333331</v>
      </c>
      <c r="C19" s="14">
        <f t="shared" si="14"/>
        <v>60</v>
      </c>
      <c r="D19" s="8">
        <f t="shared" si="15"/>
        <v>0.70833333333333337</v>
      </c>
      <c r="E19" s="14">
        <f t="shared" si="3"/>
        <v>0</v>
      </c>
      <c r="F19" s="8">
        <f t="shared" si="16"/>
        <v>0.33333333333333337</v>
      </c>
      <c r="G19" s="15">
        <v>45757</v>
      </c>
      <c r="H19" s="13">
        <f t="shared" ca="1" si="9"/>
        <v>0</v>
      </c>
      <c r="N19" s="3">
        <f t="shared" ca="1" si="10"/>
        <v>0</v>
      </c>
      <c r="S19" s="3">
        <f t="shared" ca="1" si="11"/>
        <v>0</v>
      </c>
      <c r="X19" s="3">
        <f t="shared" ca="1" si="12"/>
        <v>0</v>
      </c>
      <c r="AC19" s="3"/>
      <c r="AH19" s="3"/>
      <c r="AM19" s="3"/>
    </row>
    <row r="20" spans="2:39">
      <c r="B20" s="8">
        <f t="shared" si="13"/>
        <v>0.33333333333333331</v>
      </c>
      <c r="C20" s="14">
        <f t="shared" si="14"/>
        <v>60</v>
      </c>
      <c r="D20" s="8">
        <f t="shared" si="15"/>
        <v>0.70833333333333337</v>
      </c>
      <c r="E20" s="14">
        <f t="shared" si="3"/>
        <v>0</v>
      </c>
      <c r="F20" s="8">
        <f t="shared" si="16"/>
        <v>0.33333333333333337</v>
      </c>
      <c r="G20" s="15">
        <v>45758</v>
      </c>
      <c r="H20" s="13">
        <f t="shared" ca="1" si="9"/>
        <v>0</v>
      </c>
      <c r="N20" s="3">
        <f t="shared" ca="1" si="10"/>
        <v>0</v>
      </c>
      <c r="S20" s="3">
        <f t="shared" ca="1" si="11"/>
        <v>0</v>
      </c>
      <c r="X20" s="3">
        <f t="shared" ca="1" si="12"/>
        <v>0</v>
      </c>
      <c r="AC20" s="3"/>
      <c r="AH20" s="3"/>
      <c r="AM20" s="3"/>
    </row>
    <row r="21" spans="2:39">
      <c r="B21" s="8" t="str">
        <f t="shared" si="13"/>
        <v/>
      </c>
      <c r="C21" s="14" t="str">
        <f t="shared" si="14"/>
        <v/>
      </c>
      <c r="D21" s="8" t="str">
        <f t="shared" si="15"/>
        <v/>
      </c>
      <c r="E21" s="14">
        <f t="shared" si="3"/>
        <v>0</v>
      </c>
      <c r="F21" s="8" t="str">
        <f t="shared" si="16"/>
        <v/>
      </c>
      <c r="G21" s="15">
        <v>45759</v>
      </c>
      <c r="H21" s="13">
        <f t="shared" ca="1" si="9"/>
        <v>0</v>
      </c>
      <c r="N21" s="3">
        <f t="shared" ca="1" si="10"/>
        <v>0</v>
      </c>
      <c r="S21" s="3">
        <f t="shared" ca="1" si="11"/>
        <v>0</v>
      </c>
      <c r="X21" s="3">
        <f t="shared" ca="1" si="12"/>
        <v>0</v>
      </c>
      <c r="AC21" s="3"/>
      <c r="AH21" s="3"/>
      <c r="AM21" s="3"/>
    </row>
    <row r="22" spans="2:39">
      <c r="B22" s="8" t="str">
        <f t="shared" si="13"/>
        <v/>
      </c>
      <c r="C22" s="14" t="str">
        <f t="shared" si="14"/>
        <v/>
      </c>
      <c r="D22" s="8" t="str">
        <f t="shared" si="15"/>
        <v/>
      </c>
      <c r="E22" s="14">
        <f t="shared" si="3"/>
        <v>0</v>
      </c>
      <c r="F22" s="8" t="str">
        <f t="shared" si="16"/>
        <v/>
      </c>
      <c r="G22" s="15">
        <v>45760</v>
      </c>
      <c r="H22" s="13">
        <f t="shared" ca="1" si="9"/>
        <v>0</v>
      </c>
      <c r="N22" s="2">
        <f t="shared" ca="1" si="10"/>
        <v>0</v>
      </c>
      <c r="S22" s="2">
        <f t="shared" ca="1" si="11"/>
        <v>0</v>
      </c>
      <c r="X22" s="2">
        <f t="shared" ca="1" si="12"/>
        <v>0</v>
      </c>
      <c r="AC22" s="2"/>
      <c r="AH22" s="2"/>
      <c r="AM22" s="2"/>
    </row>
    <row r="23" spans="2:39">
      <c r="B23" s="8">
        <f t="shared" si="13"/>
        <v>0.33333333333333331</v>
      </c>
      <c r="C23" s="14">
        <f t="shared" si="14"/>
        <v>60</v>
      </c>
      <c r="D23" s="8">
        <f t="shared" si="15"/>
        <v>0.70833333333333337</v>
      </c>
      <c r="E23" s="14">
        <f t="shared" si="3"/>
        <v>0</v>
      </c>
      <c r="F23" s="8">
        <f t="shared" si="16"/>
        <v>0.33333333333333337</v>
      </c>
      <c r="G23" s="15">
        <v>45761</v>
      </c>
      <c r="H23" s="13">
        <f t="shared" ca="1" si="9"/>
        <v>0</v>
      </c>
      <c r="N23" s="2">
        <f t="shared" ca="1" si="10"/>
        <v>0</v>
      </c>
      <c r="S23" s="2">
        <f t="shared" ca="1" si="11"/>
        <v>0</v>
      </c>
      <c r="X23" s="2">
        <f t="shared" ca="1" si="12"/>
        <v>0</v>
      </c>
      <c r="AC23" s="2"/>
      <c r="AH23" s="2"/>
      <c r="AM23" s="2"/>
    </row>
    <row r="24" spans="2:39">
      <c r="B24" s="8">
        <f t="shared" si="13"/>
        <v>0.33333333333333331</v>
      </c>
      <c r="C24" s="14">
        <f t="shared" si="14"/>
        <v>60</v>
      </c>
      <c r="D24" s="8">
        <f t="shared" si="15"/>
        <v>0.70833333333333337</v>
      </c>
      <c r="E24" s="14">
        <f t="shared" si="3"/>
        <v>0</v>
      </c>
      <c r="F24" s="8">
        <f t="shared" si="16"/>
        <v>0.33333333333333337</v>
      </c>
      <c r="G24" s="15">
        <v>45762</v>
      </c>
      <c r="H24" s="13">
        <f t="shared" ca="1" si="9"/>
        <v>0</v>
      </c>
      <c r="N24" s="2">
        <f t="shared" ca="1" si="10"/>
        <v>0</v>
      </c>
      <c r="S24" s="2">
        <f t="shared" ca="1" si="11"/>
        <v>0</v>
      </c>
      <c r="X24" s="2">
        <f t="shared" ca="1" si="12"/>
        <v>0</v>
      </c>
      <c r="AC24" s="2"/>
      <c r="AH24" s="2"/>
      <c r="AM24" s="2"/>
    </row>
    <row r="25" spans="2:39">
      <c r="B25" s="8">
        <f t="shared" si="13"/>
        <v>0.33333333333333331</v>
      </c>
      <c r="C25" s="14">
        <f t="shared" si="14"/>
        <v>60</v>
      </c>
      <c r="D25" s="8">
        <f t="shared" si="15"/>
        <v>0.70833333333333337</v>
      </c>
      <c r="E25" s="14">
        <f t="shared" si="3"/>
        <v>0</v>
      </c>
      <c r="F25" s="8">
        <f t="shared" si="16"/>
        <v>0.33333333333333337</v>
      </c>
      <c r="G25" s="15">
        <v>45763</v>
      </c>
      <c r="H25" s="13">
        <f t="shared" ca="1" si="9"/>
        <v>0</v>
      </c>
      <c r="N25" s="3">
        <f t="shared" ca="1" si="10"/>
        <v>0</v>
      </c>
      <c r="S25" s="3">
        <f t="shared" ca="1" si="11"/>
        <v>0</v>
      </c>
      <c r="X25" s="3">
        <f t="shared" ca="1" si="12"/>
        <v>0</v>
      </c>
      <c r="AC25" s="3"/>
      <c r="AH25" s="3"/>
      <c r="AM25" s="3"/>
    </row>
    <row r="26" spans="2:39">
      <c r="B26" s="8">
        <f t="shared" si="13"/>
        <v>0.33333333333333331</v>
      </c>
      <c r="C26" s="14">
        <f t="shared" si="14"/>
        <v>60</v>
      </c>
      <c r="D26" s="8">
        <f t="shared" si="15"/>
        <v>0.70833333333333337</v>
      </c>
      <c r="E26" s="14">
        <f t="shared" si="3"/>
        <v>0</v>
      </c>
      <c r="F26" s="8">
        <f t="shared" si="16"/>
        <v>0.33333333333333337</v>
      </c>
      <c r="G26" s="15">
        <v>45764</v>
      </c>
      <c r="H26" s="13">
        <f t="shared" ca="1" si="9"/>
        <v>0</v>
      </c>
      <c r="N26" s="3">
        <f t="shared" ca="1" si="10"/>
        <v>0</v>
      </c>
      <c r="S26" s="3">
        <f t="shared" ca="1" si="11"/>
        <v>0</v>
      </c>
      <c r="X26" s="3">
        <f t="shared" ca="1" si="12"/>
        <v>0</v>
      </c>
      <c r="AC26" s="3"/>
      <c r="AH26" s="3"/>
      <c r="AM26" s="3"/>
    </row>
    <row r="27" spans="2:39">
      <c r="B27" s="8">
        <f t="shared" si="13"/>
        <v>0.33333333333333331</v>
      </c>
      <c r="C27" s="14">
        <f t="shared" si="14"/>
        <v>60</v>
      </c>
      <c r="D27" s="8">
        <f t="shared" si="15"/>
        <v>0.70833333333333337</v>
      </c>
      <c r="E27" s="14">
        <f t="shared" si="3"/>
        <v>0</v>
      </c>
      <c r="F27" s="8">
        <f t="shared" si="16"/>
        <v>0.33333333333333337</v>
      </c>
      <c r="G27" s="15">
        <v>45765</v>
      </c>
      <c r="H27" s="13">
        <f t="shared" ca="1" si="9"/>
        <v>0</v>
      </c>
      <c r="N27" s="3">
        <f t="shared" ca="1" si="10"/>
        <v>0</v>
      </c>
      <c r="S27" s="3">
        <f t="shared" ca="1" si="11"/>
        <v>0</v>
      </c>
      <c r="X27" s="3">
        <f t="shared" ca="1" si="12"/>
        <v>0</v>
      </c>
      <c r="AC27" s="3"/>
      <c r="AH27" s="3"/>
      <c r="AM27" s="3"/>
    </row>
    <row r="28" spans="2:39">
      <c r="B28" s="8" t="str">
        <f t="shared" si="13"/>
        <v/>
      </c>
      <c r="C28" s="14" t="str">
        <f t="shared" si="14"/>
        <v/>
      </c>
      <c r="D28" s="8" t="str">
        <f t="shared" si="15"/>
        <v/>
      </c>
      <c r="E28" s="14">
        <f t="shared" si="3"/>
        <v>0</v>
      </c>
      <c r="F28" s="8" t="str">
        <f t="shared" si="16"/>
        <v/>
      </c>
      <c r="G28" s="15">
        <v>45766</v>
      </c>
      <c r="H28" s="13">
        <f t="shared" ca="1" si="9"/>
        <v>0</v>
      </c>
      <c r="N28" s="3">
        <f t="shared" ca="1" si="10"/>
        <v>0</v>
      </c>
      <c r="S28" s="3">
        <f t="shared" ca="1" si="11"/>
        <v>0</v>
      </c>
      <c r="X28" s="3">
        <f t="shared" ca="1" si="12"/>
        <v>0</v>
      </c>
      <c r="AC28" s="3"/>
      <c r="AH28" s="3"/>
      <c r="AM28" s="3"/>
    </row>
    <row r="29" spans="2:39">
      <c r="B29" s="8" t="str">
        <f t="shared" si="13"/>
        <v/>
      </c>
      <c r="C29" s="14" t="str">
        <f t="shared" si="14"/>
        <v/>
      </c>
      <c r="D29" s="8" t="str">
        <f t="shared" si="15"/>
        <v/>
      </c>
      <c r="E29" s="14">
        <f t="shared" si="3"/>
        <v>0</v>
      </c>
      <c r="F29" s="8" t="str">
        <f t="shared" si="16"/>
        <v/>
      </c>
      <c r="G29" s="15">
        <v>45767</v>
      </c>
      <c r="H29" s="13">
        <f t="shared" ca="1" si="9"/>
        <v>0</v>
      </c>
      <c r="N29" s="2">
        <f t="shared" ca="1" si="10"/>
        <v>0</v>
      </c>
      <c r="S29" s="2">
        <f t="shared" ca="1" si="11"/>
        <v>0</v>
      </c>
      <c r="X29" s="2">
        <f t="shared" ca="1" si="12"/>
        <v>0</v>
      </c>
      <c r="AC29" s="2"/>
      <c r="AH29" s="2"/>
      <c r="AM29" s="2"/>
    </row>
    <row r="30" spans="2:39">
      <c r="B30" s="8">
        <f t="shared" si="13"/>
        <v>0.33333333333333331</v>
      </c>
      <c r="C30" s="14">
        <f t="shared" si="14"/>
        <v>60</v>
      </c>
      <c r="D30" s="8">
        <f t="shared" si="15"/>
        <v>0.70833333333333337</v>
      </c>
      <c r="E30" s="14">
        <f t="shared" si="3"/>
        <v>0</v>
      </c>
      <c r="F30" s="8">
        <f t="shared" si="16"/>
        <v>0.33333333333333337</v>
      </c>
      <c r="G30" s="15">
        <v>45768</v>
      </c>
      <c r="H30" s="13">
        <f t="shared" ca="1" si="9"/>
        <v>0</v>
      </c>
      <c r="N30" s="2">
        <f t="shared" ca="1" si="10"/>
        <v>0</v>
      </c>
      <c r="S30" s="2">
        <f t="shared" ca="1" si="11"/>
        <v>0</v>
      </c>
      <c r="X30" s="2">
        <f t="shared" ca="1" si="12"/>
        <v>0</v>
      </c>
      <c r="AC30" s="2"/>
      <c r="AH30" s="2"/>
      <c r="AM30" s="2"/>
    </row>
    <row r="31" spans="2:39">
      <c r="B31" s="8">
        <f t="shared" si="13"/>
        <v>0.33333333333333331</v>
      </c>
      <c r="C31" s="14">
        <f t="shared" si="14"/>
        <v>60</v>
      </c>
      <c r="D31" s="8">
        <f t="shared" si="15"/>
        <v>0.70833333333333337</v>
      </c>
      <c r="E31" s="14">
        <f t="shared" si="3"/>
        <v>0</v>
      </c>
      <c r="F31" s="8">
        <f t="shared" si="16"/>
        <v>0.33333333333333337</v>
      </c>
      <c r="G31" s="15">
        <v>45769</v>
      </c>
      <c r="H31" s="13">
        <f t="shared" ca="1" si="9"/>
        <v>0</v>
      </c>
      <c r="N31" s="2">
        <f t="shared" ca="1" si="10"/>
        <v>0</v>
      </c>
      <c r="S31" s="2">
        <f t="shared" ca="1" si="11"/>
        <v>0</v>
      </c>
      <c r="X31" s="2">
        <f t="shared" ca="1" si="12"/>
        <v>0</v>
      </c>
      <c r="AC31" s="2"/>
      <c r="AH31" s="2"/>
      <c r="AM31" s="2"/>
    </row>
    <row r="32" spans="2:39">
      <c r="B32" s="8">
        <f t="shared" si="13"/>
        <v>0.33333333333333331</v>
      </c>
      <c r="C32" s="14">
        <f t="shared" si="14"/>
        <v>60</v>
      </c>
      <c r="D32" s="8">
        <f t="shared" si="15"/>
        <v>0.70833333333333337</v>
      </c>
      <c r="E32" s="14">
        <f t="shared" si="3"/>
        <v>0</v>
      </c>
      <c r="F32" s="8">
        <f t="shared" si="16"/>
        <v>0.33333333333333337</v>
      </c>
      <c r="G32" s="15">
        <v>45770</v>
      </c>
      <c r="H32" s="13">
        <f t="shared" ca="1" si="9"/>
        <v>0</v>
      </c>
      <c r="N32" s="3">
        <f t="shared" ca="1" si="10"/>
        <v>0</v>
      </c>
      <c r="S32" s="3">
        <f t="shared" ca="1" si="11"/>
        <v>0</v>
      </c>
      <c r="X32" s="3">
        <f t="shared" ca="1" si="12"/>
        <v>0</v>
      </c>
      <c r="AC32" s="3"/>
      <c r="AH32" s="3"/>
      <c r="AM32" s="3"/>
    </row>
    <row r="33" spans="2:39">
      <c r="B33" s="8">
        <f t="shared" si="13"/>
        <v>0.33333333333333331</v>
      </c>
      <c r="C33" s="14">
        <f t="shared" si="14"/>
        <v>60</v>
      </c>
      <c r="D33" s="8">
        <f t="shared" si="15"/>
        <v>0.70833333333333337</v>
      </c>
      <c r="E33" s="14">
        <f t="shared" si="3"/>
        <v>0</v>
      </c>
      <c r="F33" s="8">
        <f t="shared" si="16"/>
        <v>0.33333333333333337</v>
      </c>
      <c r="G33" s="15">
        <v>45771</v>
      </c>
      <c r="H33" s="13">
        <f t="shared" ca="1" si="9"/>
        <v>0</v>
      </c>
      <c r="N33" s="3">
        <f t="shared" ca="1" si="10"/>
        <v>0</v>
      </c>
      <c r="S33" s="3">
        <f t="shared" ca="1" si="11"/>
        <v>0</v>
      </c>
      <c r="X33" s="3">
        <f t="shared" ca="1" si="12"/>
        <v>0</v>
      </c>
      <c r="AC33" s="3"/>
      <c r="AH33" s="3"/>
      <c r="AM33" s="3"/>
    </row>
    <row r="34" spans="2:39">
      <c r="B34" s="8">
        <f t="shared" si="13"/>
        <v>0.33333333333333331</v>
      </c>
      <c r="C34" s="14">
        <f t="shared" si="14"/>
        <v>60</v>
      </c>
      <c r="D34" s="8">
        <f t="shared" si="15"/>
        <v>0.70833333333333337</v>
      </c>
      <c r="E34" s="14">
        <f t="shared" si="3"/>
        <v>0</v>
      </c>
      <c r="F34" s="8">
        <f t="shared" si="16"/>
        <v>0.33333333333333337</v>
      </c>
      <c r="G34" s="15">
        <v>45772</v>
      </c>
      <c r="H34" s="13">
        <f t="shared" ca="1" si="9"/>
        <v>0</v>
      </c>
      <c r="N34" s="3">
        <f t="shared" ca="1" si="10"/>
        <v>0</v>
      </c>
      <c r="S34" s="3">
        <f t="shared" ca="1" si="11"/>
        <v>0</v>
      </c>
      <c r="X34" s="3">
        <f t="shared" ca="1" si="12"/>
        <v>0</v>
      </c>
      <c r="AC34" s="3"/>
      <c r="AH34" s="3"/>
      <c r="AM34" s="3"/>
    </row>
    <row r="35" spans="2:39">
      <c r="B35" s="8" t="str">
        <f t="shared" si="13"/>
        <v/>
      </c>
      <c r="C35" s="14" t="str">
        <f t="shared" si="14"/>
        <v/>
      </c>
      <c r="D35" s="8" t="str">
        <f t="shared" si="15"/>
        <v/>
      </c>
      <c r="E35" s="14">
        <f t="shared" si="3"/>
        <v>0</v>
      </c>
      <c r="F35" s="8" t="str">
        <f t="shared" si="16"/>
        <v/>
      </c>
      <c r="G35" s="15">
        <v>45773</v>
      </c>
      <c r="H35" s="13">
        <f t="shared" ca="1" si="9"/>
        <v>0</v>
      </c>
      <c r="N35" s="3">
        <f t="shared" ca="1" si="10"/>
        <v>0</v>
      </c>
      <c r="S35" s="3">
        <f t="shared" ca="1" si="11"/>
        <v>0</v>
      </c>
      <c r="X35" s="3">
        <f t="shared" ca="1" si="12"/>
        <v>0</v>
      </c>
      <c r="AC35" s="3"/>
      <c r="AH35" s="3"/>
      <c r="AM35" s="3"/>
    </row>
    <row r="36" spans="2:39">
      <c r="B36" s="8" t="str">
        <f t="shared" si="13"/>
        <v/>
      </c>
      <c r="C36" s="14" t="str">
        <f t="shared" si="14"/>
        <v/>
      </c>
      <c r="D36" s="8" t="str">
        <f t="shared" si="15"/>
        <v/>
      </c>
      <c r="E36" s="14">
        <f t="shared" si="3"/>
        <v>0</v>
      </c>
      <c r="F36" s="8" t="str">
        <f t="shared" si="16"/>
        <v/>
      </c>
      <c r="G36" s="15">
        <v>45774</v>
      </c>
      <c r="H36" s="13">
        <f t="shared" ca="1" si="9"/>
        <v>0</v>
      </c>
      <c r="N36" s="2">
        <f t="shared" ca="1" si="10"/>
        <v>0</v>
      </c>
      <c r="S36" s="2">
        <f t="shared" ca="1" si="11"/>
        <v>0</v>
      </c>
      <c r="X36" s="2">
        <f t="shared" ca="1" si="12"/>
        <v>0</v>
      </c>
      <c r="AC36" s="2"/>
      <c r="AH36" s="2"/>
      <c r="AM36" s="2"/>
    </row>
    <row r="37" spans="2:39">
      <c r="B37" s="8">
        <f t="shared" si="13"/>
        <v>0.33333333333333331</v>
      </c>
      <c r="C37" s="14">
        <f t="shared" si="14"/>
        <v>60</v>
      </c>
      <c r="D37" s="8">
        <f t="shared" si="15"/>
        <v>0.70833333333333337</v>
      </c>
      <c r="E37" s="14">
        <f t="shared" si="3"/>
        <v>0</v>
      </c>
      <c r="F37" s="8">
        <f t="shared" si="16"/>
        <v>0.33333333333333337</v>
      </c>
      <c r="G37" s="15">
        <v>45775</v>
      </c>
      <c r="H37" s="13">
        <f t="shared" ca="1" si="9"/>
        <v>0</v>
      </c>
      <c r="N37" s="2">
        <f t="shared" ca="1" si="10"/>
        <v>0</v>
      </c>
      <c r="S37" s="2">
        <f t="shared" ca="1" si="11"/>
        <v>0</v>
      </c>
      <c r="X37" s="2">
        <f t="shared" ca="1" si="12"/>
        <v>0</v>
      </c>
      <c r="AC37" s="2"/>
      <c r="AH37" s="2"/>
      <c r="AM37" s="2"/>
    </row>
    <row r="38" spans="2:39">
      <c r="B38" s="8">
        <f t="shared" si="13"/>
        <v>0.33333333333333331</v>
      </c>
      <c r="C38" s="14">
        <f t="shared" si="14"/>
        <v>60</v>
      </c>
      <c r="D38" s="8">
        <f t="shared" si="15"/>
        <v>0.70833333333333337</v>
      </c>
      <c r="E38" s="14">
        <f t="shared" si="3"/>
        <v>0</v>
      </c>
      <c r="F38" s="8">
        <f t="shared" si="16"/>
        <v>0.33333333333333337</v>
      </c>
      <c r="G38" s="15">
        <v>45776</v>
      </c>
      <c r="H38" s="13">
        <f t="shared" ca="1" si="9"/>
        <v>0</v>
      </c>
      <c r="N38" s="2">
        <f t="shared" ca="1" si="10"/>
        <v>0</v>
      </c>
      <c r="S38" s="2">
        <f t="shared" ca="1" si="11"/>
        <v>0</v>
      </c>
      <c r="X38" s="2">
        <f t="shared" ca="1" si="12"/>
        <v>0</v>
      </c>
      <c r="AC38" s="2"/>
      <c r="AH38" s="2"/>
      <c r="AM38" s="2"/>
    </row>
    <row r="39" spans="2:39">
      <c r="B39" s="8">
        <f t="shared" si="13"/>
        <v>0.33333333333333331</v>
      </c>
      <c r="C39" s="14">
        <f t="shared" si="14"/>
        <v>60</v>
      </c>
      <c r="D39" s="8">
        <f t="shared" si="15"/>
        <v>0.70833333333333337</v>
      </c>
      <c r="E39" s="14">
        <f t="shared" si="3"/>
        <v>0</v>
      </c>
      <c r="F39" s="8">
        <f t="shared" si="16"/>
        <v>0.33333333333333337</v>
      </c>
      <c r="G39" s="15">
        <v>45777</v>
      </c>
      <c r="H39" s="13">
        <f t="shared" ca="1" si="9"/>
        <v>0</v>
      </c>
      <c r="N39" s="3">
        <f t="shared" ca="1" si="10"/>
        <v>0</v>
      </c>
      <c r="S39" s="3">
        <f t="shared" ca="1" si="11"/>
        <v>0</v>
      </c>
      <c r="X39" s="3">
        <f t="shared" ca="1" si="12"/>
        <v>0</v>
      </c>
      <c r="AC39" s="3"/>
      <c r="AH39" s="3"/>
      <c r="AM39" s="3"/>
    </row>
    <row r="40" spans="2:39">
      <c r="B40" s="8">
        <f t="shared" si="13"/>
        <v>0.33333333333333331</v>
      </c>
      <c r="C40" s="14">
        <f t="shared" si="14"/>
        <v>60</v>
      </c>
      <c r="D40" s="8">
        <f t="shared" si="15"/>
        <v>0.70833333333333337</v>
      </c>
      <c r="E40" s="14">
        <f t="shared" si="3"/>
        <v>0</v>
      </c>
      <c r="F40" s="8">
        <f t="shared" si="16"/>
        <v>0.33333333333333337</v>
      </c>
      <c r="G40" s="15">
        <v>45778</v>
      </c>
      <c r="H40" s="13">
        <f t="shared" ca="1" si="9"/>
        <v>0</v>
      </c>
      <c r="I40" s="1"/>
      <c r="J40" s="1"/>
      <c r="K40" s="1"/>
      <c r="L40" s="1"/>
      <c r="M40" s="1"/>
      <c r="N40" s="4">
        <f t="shared" ca="1" si="10"/>
        <v>0</v>
      </c>
      <c r="O40" s="1"/>
      <c r="P40" s="1"/>
      <c r="Q40" s="1"/>
      <c r="R40" s="1"/>
      <c r="S40" s="4">
        <f t="shared" ca="1" si="11"/>
        <v>0</v>
      </c>
      <c r="T40" s="1"/>
      <c r="U40" s="1"/>
      <c r="V40" s="1"/>
      <c r="W40" s="1"/>
      <c r="X40" s="4">
        <f t="shared" ca="1" si="12"/>
        <v>0</v>
      </c>
      <c r="Y40" s="1"/>
      <c r="Z40" s="1"/>
      <c r="AA40" s="1"/>
      <c r="AB40" s="1"/>
      <c r="AC40" s="4"/>
      <c r="AD40" s="1"/>
      <c r="AE40" s="1"/>
      <c r="AF40" s="1"/>
      <c r="AG40" s="1"/>
      <c r="AH40" s="4"/>
      <c r="AI40" s="1"/>
      <c r="AJ40" s="1"/>
      <c r="AK40" s="1"/>
      <c r="AL40" s="1"/>
      <c r="AM40" s="4"/>
    </row>
    <row r="41" spans="2:39">
      <c r="E41" t="s">
        <v>0</v>
      </c>
      <c r="F41" s="10" t="e" cm="1">
        <f t="array" ref="F41">SUM(HOUR(F10:F40) + MINUTE(F10:F40)/60)</f>
        <v>#VALUE!</v>
      </c>
      <c r="I41" s="12" t="e">
        <f>I9/$H$9</f>
        <v>#DIV/0!</v>
      </c>
      <c r="J41" s="12" t="e">
        <f t="shared" ref="J41:M41" si="17">J9/$H$9</f>
        <v>#DIV/0!</v>
      </c>
      <c r="K41" s="12" t="e">
        <f t="shared" si="17"/>
        <v>#DIV/0!</v>
      </c>
      <c r="L41" s="12" t="e">
        <f t="shared" si="17"/>
        <v>#DIV/0!</v>
      </c>
      <c r="M41" s="12" t="e">
        <f t="shared" si="17"/>
        <v>#DIV/0!</v>
      </c>
      <c r="N41" s="12" t="e">
        <f t="shared" ref="N41:S41" si="18">N9/$H$9</f>
        <v>#DIV/0!</v>
      </c>
      <c r="O41" s="12" t="e">
        <f t="shared" si="18"/>
        <v>#DIV/0!</v>
      </c>
      <c r="P41" s="12" t="e">
        <f t="shared" si="18"/>
        <v>#DIV/0!</v>
      </c>
      <c r="Q41" s="12" t="e">
        <f t="shared" si="18"/>
        <v>#DIV/0!</v>
      </c>
      <c r="R41" s="12" t="e">
        <f t="shared" si="18"/>
        <v>#DIV/0!</v>
      </c>
      <c r="S41" s="12" t="e">
        <f t="shared" si="18"/>
        <v>#DIV/0!</v>
      </c>
      <c r="T41" s="12" t="e">
        <f t="shared" ref="T41:X41" si="19">T9/$H$9</f>
        <v>#DIV/0!</v>
      </c>
      <c r="U41" s="12" t="e">
        <f t="shared" si="19"/>
        <v>#DIV/0!</v>
      </c>
      <c r="V41" s="12" t="e">
        <f t="shared" si="19"/>
        <v>#DIV/0!</v>
      </c>
      <c r="W41" s="12" t="e">
        <f t="shared" si="19"/>
        <v>#DIV/0!</v>
      </c>
      <c r="X41" s="12" t="e">
        <f t="shared" si="19"/>
        <v>#DIV/0!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2:39">
      <c r="E42" t="s">
        <v>9</v>
      </c>
      <c r="F42" s="9">
        <f>COUNTA(F10:F40) * 8</f>
        <v>248</v>
      </c>
    </row>
    <row r="43" spans="2:39">
      <c r="E43" t="s">
        <v>10</v>
      </c>
      <c r="F43" s="10" t="e">
        <f>F41-F42</f>
        <v>#VALUE!</v>
      </c>
    </row>
    <row r="46" spans="2:39">
      <c r="G46" s="18" t="s">
        <v>17</v>
      </c>
    </row>
    <row r="47" spans="2:39">
      <c r="G47" s="16" t="s">
        <v>20</v>
      </c>
    </row>
    <row r="48" spans="2:39">
      <c r="G48" s="17" t="s">
        <v>21</v>
      </c>
    </row>
  </sheetData>
  <mergeCells count="6">
    <mergeCell ref="I7:N7"/>
    <mergeCell ref="AI7:AM7"/>
    <mergeCell ref="Y7:AC7"/>
    <mergeCell ref="AD7:AH7"/>
    <mergeCell ref="T7:X7"/>
    <mergeCell ref="O7:S7"/>
  </mergeCells>
  <phoneticPr fontId="3" type="noConversion"/>
  <conditionalFormatting sqref="G10:G40">
    <cfRule type="expression" dxfId="3" priority="6">
      <formula>AND(ISNUMBER(G10), OR(WEEKDAY(G10) = 1, WEEKDAY(G10) = 7))</formula>
    </cfRule>
  </conditionalFormatting>
  <conditionalFormatting sqref="G32">
    <cfRule type="expression" dxfId="2" priority="9">
      <formula>"WEKKDAY=7"</formula>
    </cfRule>
    <cfRule type="cellIs" dxfId="1" priority="10" operator="equal">
      <formula>WEEKDAY=7</formula>
    </cfRule>
  </conditionalFormatting>
  <conditionalFormatting sqref="H10:AM40">
    <cfRule type="expression" dxfId="0" priority="1">
      <formula>OR(WEEKDAY($G10, 2)=6, WEEKDAY($G10, 2)=7)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Kolev</dc:creator>
  <cp:lastModifiedBy>Kristian Kolev</cp:lastModifiedBy>
  <dcterms:created xsi:type="dcterms:W3CDTF">2024-02-21T09:17:20Z</dcterms:created>
  <dcterms:modified xsi:type="dcterms:W3CDTF">2026-05-11T10:01:14Z</dcterms:modified>
</cp:coreProperties>
</file>